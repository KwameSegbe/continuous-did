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127"/>
  <workbookPr showInkAnnotation="0" autoCompressPictures="0"/>
  <bookViews>
    <workbookView xWindow="19180" yWindow="-16160" windowWidth="25600" windowHeight="14780" tabRatio="50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66" i="1" l="1"/>
  <c r="I66" i="1"/>
  <c r="H66" i="1"/>
  <c r="F66" i="1"/>
  <c r="G66" i="1"/>
  <c r="J2" i="1"/>
  <c r="I2" i="1"/>
  <c r="H2" i="1"/>
  <c r="F7" i="1"/>
  <c r="F8" i="1"/>
  <c r="F9" i="1"/>
  <c r="F10" i="1"/>
  <c r="F12" i="1"/>
  <c r="F15" i="1"/>
  <c r="F16" i="1"/>
  <c r="F19" i="1"/>
  <c r="F22" i="1"/>
  <c r="F25" i="1"/>
  <c r="F27" i="1"/>
  <c r="F28" i="1"/>
  <c r="F30" i="1"/>
  <c r="F31" i="1"/>
  <c r="F32" i="1"/>
  <c r="F33" i="1"/>
  <c r="F35" i="1"/>
  <c r="F36" i="1"/>
  <c r="F37" i="1"/>
  <c r="F38" i="1"/>
  <c r="F39" i="1"/>
  <c r="F40" i="1"/>
  <c r="F42" i="1"/>
  <c r="F44" i="1"/>
  <c r="F45" i="1"/>
  <c r="F47" i="1"/>
  <c r="F50" i="1"/>
  <c r="F51" i="1"/>
  <c r="F53" i="1"/>
  <c r="F54" i="1"/>
  <c r="F55" i="1"/>
  <c r="F57" i="1"/>
  <c r="F58" i="1"/>
  <c r="F60" i="1"/>
  <c r="F64" i="1"/>
  <c r="F6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8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8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8" i="1"/>
  <c r="K65" i="1"/>
</calcChain>
</file>

<file path=xl/sharedStrings.xml><?xml version="1.0" encoding="utf-8"?>
<sst xmlns="http://schemas.openxmlformats.org/spreadsheetml/2006/main" count="209" uniqueCount="69">
  <si>
    <t>fips</t>
  </si>
  <si>
    <t>name</t>
  </si>
  <si>
    <t>postal</t>
  </si>
  <si>
    <t>eventyear</t>
  </si>
  <si>
    <t>event_type</t>
  </si>
  <si>
    <t>eventnum</t>
  </si>
  <si>
    <t>Court</t>
  </si>
  <si>
    <t>Arizona</t>
  </si>
  <si>
    <t>AZ</t>
  </si>
  <si>
    <t>Statute</t>
  </si>
  <si>
    <t>Arkansas</t>
  </si>
  <si>
    <t>AR</t>
  </si>
  <si>
    <t>California</t>
  </si>
  <si>
    <t>CA</t>
  </si>
  <si>
    <t>Colorado</t>
  </si>
  <si>
    <t>CO</t>
  </si>
  <si>
    <t>Idaho</t>
  </si>
  <si>
    <t>ID</t>
  </si>
  <si>
    <t>Indiana</t>
  </si>
  <si>
    <t>IN</t>
  </si>
  <si>
    <t>Kansas</t>
  </si>
  <si>
    <t>KS</t>
  </si>
  <si>
    <t>Kentucky</t>
  </si>
  <si>
    <t>KY</t>
  </si>
  <si>
    <t>Maryland</t>
  </si>
  <si>
    <t>MD</t>
  </si>
  <si>
    <t>Massachusetts</t>
  </si>
  <si>
    <t>MA</t>
  </si>
  <si>
    <t>Missouri</t>
  </si>
  <si>
    <t>MO</t>
  </si>
  <si>
    <t>Montana</t>
  </si>
  <si>
    <t>MT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</si>
  <si>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</si>
  <si>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</si>
  <si>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</si>
  <si>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</si>
  <si>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</si>
  <si>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</si>
  <si>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</si>
  <si>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</si>
  <si>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</si>
  <si>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</si>
  <si>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</si>
  <si>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</si>
  <si>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</si>
  <si>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</si>
  <si>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Tennessee</t>
  </si>
  <si>
    <t>TN</t>
  </si>
  <si>
    <t>Texas</t>
  </si>
  <si>
    <t>TX</t>
  </si>
  <si>
    <t>Vermont</t>
  </si>
  <si>
    <t>VT</t>
  </si>
  <si>
    <t>Washington</t>
  </si>
  <si>
    <t>WA</t>
  </si>
  <si>
    <t>West Virginia</t>
  </si>
  <si>
    <t>WV</t>
  </si>
  <si>
    <t>Wyoming</t>
  </si>
  <si>
    <t>WY</t>
  </si>
  <si>
    <t>newstate</t>
  </si>
  <si>
    <t>Both</t>
  </si>
  <si>
    <t># court</t>
  </si>
  <si>
    <t># states</t>
  </si>
  <si>
    <t># statute</t>
  </si>
  <si>
    <t># both same yr</t>
  </si>
  <si>
    <t>% court</t>
  </si>
  <si>
    <t>% statute</t>
  </si>
  <si>
    <t>% both</t>
  </si>
  <si>
    <t>Alaska</t>
  </si>
  <si>
    <t>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</si>
</sst>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164" fontId="0" fillId="0" borderId="0" xfId="0" applyNumberFormat="1" applyAlignment="1">
      <alignment horizontal="center"/>
    </xf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"/>
  <sheetViews>
    <sheetView tabSelected="1" topLeftCell="A37" workbookViewId="0">
      <selection activeCell="L66" sqref="L66"/>
    </sheetView>
  </sheetViews>
  <sheetFormatPr baseColWidth="10" defaultColWidth="11" defaultRowHeight="15" x14ac:dyDescent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58</v>
      </c>
      <c r="H1" t="s">
        <v>6</v>
      </c>
      <c r="I1" t="s">
        <v>9</v>
      </c>
      <c r="J1" t="s">
        <v>59</v>
      </c>
    </row>
    <row r="2" spans="1:10">
      <c r="A2">
        <v>2</v>
      </c>
      <c r="B2" t="s">
        <v>67</v>
      </c>
      <c r="C2" t="s">
        <v>68</v>
      </c>
      <c r="D2">
        <v>1999</v>
      </c>
      <c r="E2" t="s">
        <v>6</v>
      </c>
      <c r="F2">
        <v>1</v>
      </c>
      <c r="G2">
        <v>1</v>
      </c>
      <c r="H2">
        <f>+IF(E2="Court",1,0)</f>
        <v>1</v>
      </c>
      <c r="I2">
        <f>+IF(E2="Statute",1,0)</f>
        <v>0</v>
      </c>
      <c r="J2">
        <f>+IF(E2="Both",1,0)</f>
        <v>0</v>
      </c>
    </row>
    <row r="3" spans="1:10">
      <c r="A3">
        <v>4</v>
      </c>
      <c r="B3" t="s">
        <v>7</v>
      </c>
      <c r="C3" t="s">
        <v>8</v>
      </c>
      <c r="D3">
        <v>1994</v>
      </c>
      <c r="E3" t="s">
        <v>6</v>
      </c>
      <c r="F3">
        <v>1</v>
      </c>
      <c r="G3">
        <v>1</v>
      </c>
      <c r="H3">
        <f t="shared" ref="H3:H62" si="0">+IF(E3="Court",1,0)</f>
        <v>1</v>
      </c>
      <c r="I3">
        <f t="shared" ref="I3:I62" si="1">+IF(E3="Statute",1,0)</f>
        <v>0</v>
      </c>
      <c r="J3">
        <f t="shared" ref="J3:J62" si="2">+IF(E3="Both",1,0)</f>
        <v>0</v>
      </c>
    </row>
    <row r="4" spans="1:10">
      <c r="A4">
        <v>4</v>
      </c>
      <c r="B4" t="s">
        <v>7</v>
      </c>
      <c r="C4" t="s">
        <v>8</v>
      </c>
      <c r="D4">
        <v>1997</v>
      </c>
      <c r="E4" t="s">
        <v>6</v>
      </c>
      <c r="F4">
        <v>2</v>
      </c>
      <c r="H4">
        <f t="shared" si="0"/>
        <v>1</v>
      </c>
      <c r="I4">
        <f t="shared" si="1"/>
        <v>0</v>
      </c>
      <c r="J4">
        <f t="shared" si="2"/>
        <v>0</v>
      </c>
    </row>
    <row r="5" spans="1:10">
      <c r="A5">
        <v>4</v>
      </c>
      <c r="B5" t="s">
        <v>7</v>
      </c>
      <c r="C5" t="s">
        <v>8</v>
      </c>
      <c r="D5">
        <v>1998</v>
      </c>
      <c r="E5" t="s">
        <v>6</v>
      </c>
      <c r="F5">
        <v>3</v>
      </c>
      <c r="H5">
        <f t="shared" si="0"/>
        <v>1</v>
      </c>
      <c r="I5">
        <f t="shared" si="1"/>
        <v>0</v>
      </c>
      <c r="J5">
        <f t="shared" si="2"/>
        <v>0</v>
      </c>
    </row>
    <row r="6" spans="1:10">
      <c r="A6">
        <v>5</v>
      </c>
      <c r="B6" t="s">
        <v>10</v>
      </c>
      <c r="C6" t="s">
        <v>11</v>
      </c>
      <c r="D6">
        <v>1994</v>
      </c>
      <c r="E6" t="s">
        <v>6</v>
      </c>
      <c r="F6">
        <v>1</v>
      </c>
      <c r="G6">
        <v>1</v>
      </c>
      <c r="H6">
        <f t="shared" si="0"/>
        <v>1</v>
      </c>
      <c r="I6">
        <f t="shared" si="1"/>
        <v>0</v>
      </c>
      <c r="J6">
        <f t="shared" si="2"/>
        <v>0</v>
      </c>
    </row>
    <row r="7" spans="1:10">
      <c r="A7">
        <v>5</v>
      </c>
      <c r="B7" t="s">
        <v>10</v>
      </c>
      <c r="C7" t="s">
        <v>11</v>
      </c>
      <c r="D7">
        <v>1995</v>
      </c>
      <c r="E7" t="s">
        <v>9</v>
      </c>
      <c r="F7">
        <f>+F6+1</f>
        <v>2</v>
      </c>
      <c r="H7">
        <f t="shared" si="0"/>
        <v>0</v>
      </c>
      <c r="I7">
        <f t="shared" si="1"/>
        <v>1</v>
      </c>
      <c r="J7">
        <f t="shared" si="2"/>
        <v>0</v>
      </c>
    </row>
    <row r="8" spans="1:10">
      <c r="A8">
        <v>5</v>
      </c>
      <c r="B8" t="s">
        <v>10</v>
      </c>
      <c r="C8" t="s">
        <v>11</v>
      </c>
      <c r="D8">
        <v>2002</v>
      </c>
      <c r="E8" t="s">
        <v>6</v>
      </c>
      <c r="F8">
        <f>+F7+1</f>
        <v>3</v>
      </c>
      <c r="H8">
        <f t="shared" si="0"/>
        <v>1</v>
      </c>
      <c r="I8">
        <f t="shared" si="1"/>
        <v>0</v>
      </c>
      <c r="J8">
        <f t="shared" si="2"/>
        <v>0</v>
      </c>
    </row>
    <row r="9" spans="1:10">
      <c r="A9">
        <v>5</v>
      </c>
      <c r="B9" t="s">
        <v>10</v>
      </c>
      <c r="C9" t="s">
        <v>11</v>
      </c>
      <c r="D9">
        <v>2005</v>
      </c>
      <c r="E9" t="s">
        <v>6</v>
      </c>
      <c r="F9">
        <f t="shared" ref="F9:F60" si="3">+F8+1</f>
        <v>4</v>
      </c>
      <c r="H9">
        <f t="shared" si="0"/>
        <v>1</v>
      </c>
      <c r="I9">
        <f t="shared" si="1"/>
        <v>0</v>
      </c>
      <c r="J9">
        <f t="shared" si="2"/>
        <v>0</v>
      </c>
    </row>
    <row r="10" spans="1:10">
      <c r="A10">
        <v>5</v>
      </c>
      <c r="B10" t="s">
        <v>10</v>
      </c>
      <c r="C10" t="s">
        <v>11</v>
      </c>
      <c r="D10">
        <v>2007</v>
      </c>
      <c r="E10" t="s">
        <v>9</v>
      </c>
      <c r="F10">
        <f t="shared" si="3"/>
        <v>5</v>
      </c>
      <c r="H10">
        <f t="shared" si="0"/>
        <v>0</v>
      </c>
      <c r="I10">
        <f t="shared" si="1"/>
        <v>1</v>
      </c>
      <c r="J10">
        <f t="shared" si="2"/>
        <v>0</v>
      </c>
    </row>
    <row r="11" spans="1:10">
      <c r="A11">
        <v>6</v>
      </c>
      <c r="B11" t="s">
        <v>12</v>
      </c>
      <c r="C11" t="s">
        <v>13</v>
      </c>
      <c r="D11">
        <v>1998</v>
      </c>
      <c r="E11" t="s">
        <v>9</v>
      </c>
      <c r="F11">
        <v>1</v>
      </c>
      <c r="G11">
        <v>1</v>
      </c>
      <c r="H11">
        <f t="shared" si="0"/>
        <v>0</v>
      </c>
      <c r="I11">
        <f t="shared" si="1"/>
        <v>1</v>
      </c>
      <c r="J11">
        <f t="shared" si="2"/>
        <v>0</v>
      </c>
    </row>
    <row r="12" spans="1:10">
      <c r="A12">
        <v>6</v>
      </c>
      <c r="B12" t="s">
        <v>12</v>
      </c>
      <c r="C12" t="s">
        <v>13</v>
      </c>
      <c r="D12">
        <v>2004</v>
      </c>
      <c r="E12" t="s">
        <v>9</v>
      </c>
      <c r="F12">
        <f t="shared" si="3"/>
        <v>2</v>
      </c>
      <c r="H12">
        <f t="shared" si="0"/>
        <v>0</v>
      </c>
      <c r="I12">
        <f t="shared" si="1"/>
        <v>1</v>
      </c>
      <c r="J12">
        <f t="shared" si="2"/>
        <v>0</v>
      </c>
    </row>
    <row r="13" spans="1:10">
      <c r="A13">
        <v>8</v>
      </c>
      <c r="B13" t="s">
        <v>14</v>
      </c>
      <c r="C13" t="s">
        <v>15</v>
      </c>
      <c r="D13">
        <v>2000</v>
      </c>
      <c r="E13" t="s">
        <v>9</v>
      </c>
      <c r="F13">
        <v>1</v>
      </c>
      <c r="G13">
        <v>1</v>
      </c>
      <c r="H13">
        <f t="shared" si="0"/>
        <v>0</v>
      </c>
      <c r="I13">
        <f t="shared" si="1"/>
        <v>1</v>
      </c>
      <c r="J13">
        <f t="shared" si="2"/>
        <v>0</v>
      </c>
    </row>
    <row r="14" spans="1:10">
      <c r="A14">
        <v>16</v>
      </c>
      <c r="B14" t="s">
        <v>16</v>
      </c>
      <c r="C14" t="s">
        <v>17</v>
      </c>
      <c r="D14">
        <v>1993</v>
      </c>
      <c r="E14" t="s">
        <v>6</v>
      </c>
      <c r="F14">
        <v>1</v>
      </c>
      <c r="G14">
        <v>1</v>
      </c>
      <c r="H14">
        <f t="shared" si="0"/>
        <v>1</v>
      </c>
      <c r="I14">
        <f t="shared" si="1"/>
        <v>0</v>
      </c>
      <c r="J14">
        <f t="shared" si="2"/>
        <v>0</v>
      </c>
    </row>
    <row r="15" spans="1:10">
      <c r="A15">
        <v>16</v>
      </c>
      <c r="B15" t="s">
        <v>16</v>
      </c>
      <c r="C15" t="s">
        <v>17</v>
      </c>
      <c r="D15">
        <v>1994</v>
      </c>
      <c r="E15" t="s">
        <v>9</v>
      </c>
      <c r="F15">
        <f t="shared" si="3"/>
        <v>2</v>
      </c>
      <c r="H15">
        <f t="shared" si="0"/>
        <v>0</v>
      </c>
      <c r="I15">
        <f t="shared" si="1"/>
        <v>1</v>
      </c>
      <c r="J15">
        <f t="shared" si="2"/>
        <v>0</v>
      </c>
    </row>
    <row r="16" spans="1:10">
      <c r="A16">
        <v>16</v>
      </c>
      <c r="B16" t="s">
        <v>16</v>
      </c>
      <c r="C16" t="s">
        <v>17</v>
      </c>
      <c r="D16">
        <v>2005</v>
      </c>
      <c r="E16" t="s">
        <v>6</v>
      </c>
      <c r="F16">
        <f t="shared" si="3"/>
        <v>3</v>
      </c>
      <c r="H16">
        <f t="shared" si="0"/>
        <v>1</v>
      </c>
      <c r="I16">
        <f t="shared" si="1"/>
        <v>0</v>
      </c>
      <c r="J16">
        <f t="shared" si="2"/>
        <v>0</v>
      </c>
    </row>
    <row r="17" spans="1:10">
      <c r="A17">
        <v>18</v>
      </c>
      <c r="B17" t="s">
        <v>18</v>
      </c>
      <c r="C17" t="s">
        <v>19</v>
      </c>
      <c r="D17">
        <v>2011</v>
      </c>
      <c r="E17" t="s">
        <v>9</v>
      </c>
      <c r="F17">
        <v>1</v>
      </c>
      <c r="G17">
        <v>1</v>
      </c>
      <c r="H17">
        <f t="shared" si="0"/>
        <v>0</v>
      </c>
      <c r="I17">
        <f t="shared" si="1"/>
        <v>1</v>
      </c>
      <c r="J17">
        <f t="shared" si="2"/>
        <v>0</v>
      </c>
    </row>
    <row r="18" spans="1:10">
      <c r="A18">
        <v>20</v>
      </c>
      <c r="B18" t="s">
        <v>20</v>
      </c>
      <c r="C18" t="s">
        <v>21</v>
      </c>
      <c r="D18">
        <v>1992</v>
      </c>
      <c r="E18" t="s">
        <v>9</v>
      </c>
      <c r="F18">
        <v>1</v>
      </c>
      <c r="G18">
        <v>1</v>
      </c>
      <c r="H18">
        <f t="shared" si="0"/>
        <v>0</v>
      </c>
      <c r="I18">
        <f t="shared" si="1"/>
        <v>1</v>
      </c>
      <c r="J18">
        <f t="shared" si="2"/>
        <v>0</v>
      </c>
    </row>
    <row r="19" spans="1:10">
      <c r="A19">
        <v>20</v>
      </c>
      <c r="B19" t="s">
        <v>20</v>
      </c>
      <c r="C19" t="s">
        <v>21</v>
      </c>
      <c r="D19">
        <v>2005</v>
      </c>
      <c r="E19" t="s">
        <v>59</v>
      </c>
      <c r="F19">
        <f t="shared" si="3"/>
        <v>2</v>
      </c>
      <c r="H19">
        <f t="shared" si="0"/>
        <v>0</v>
      </c>
      <c r="I19">
        <f t="shared" si="1"/>
        <v>0</v>
      </c>
      <c r="J19">
        <f t="shared" si="2"/>
        <v>1</v>
      </c>
    </row>
    <row r="20" spans="1:10">
      <c r="A20">
        <v>21</v>
      </c>
      <c r="B20" t="s">
        <v>22</v>
      </c>
      <c r="C20" t="s">
        <v>23</v>
      </c>
      <c r="D20">
        <v>1990</v>
      </c>
      <c r="E20" t="s">
        <v>9</v>
      </c>
      <c r="F20">
        <v>1</v>
      </c>
      <c r="G20">
        <v>1</v>
      </c>
      <c r="H20">
        <f t="shared" si="0"/>
        <v>0</v>
      </c>
      <c r="I20">
        <f t="shared" si="1"/>
        <v>1</v>
      </c>
      <c r="J20">
        <f t="shared" si="2"/>
        <v>0</v>
      </c>
    </row>
    <row r="21" spans="1:10">
      <c r="A21">
        <v>24</v>
      </c>
      <c r="B21" t="s">
        <v>24</v>
      </c>
      <c r="C21" t="s">
        <v>25</v>
      </c>
      <c r="D21">
        <v>1996</v>
      </c>
      <c r="E21" t="s">
        <v>6</v>
      </c>
      <c r="F21">
        <v>1</v>
      </c>
      <c r="G21">
        <v>1</v>
      </c>
      <c r="H21">
        <f t="shared" si="0"/>
        <v>1</v>
      </c>
      <c r="I21">
        <f t="shared" si="1"/>
        <v>0</v>
      </c>
      <c r="J21">
        <f t="shared" si="2"/>
        <v>0</v>
      </c>
    </row>
    <row r="22" spans="1:10">
      <c r="A22">
        <v>24</v>
      </c>
      <c r="B22" t="s">
        <v>24</v>
      </c>
      <c r="C22" t="s">
        <v>25</v>
      </c>
      <c r="D22">
        <v>2002</v>
      </c>
      <c r="E22" t="s">
        <v>9</v>
      </c>
      <c r="F22">
        <f t="shared" si="3"/>
        <v>2</v>
      </c>
      <c r="H22">
        <f t="shared" si="0"/>
        <v>0</v>
      </c>
      <c r="I22">
        <f t="shared" si="1"/>
        <v>1</v>
      </c>
      <c r="J22">
        <f t="shared" si="2"/>
        <v>0</v>
      </c>
    </row>
    <row r="23" spans="1:10">
      <c r="A23">
        <v>25</v>
      </c>
      <c r="B23" t="s">
        <v>26</v>
      </c>
      <c r="C23" t="s">
        <v>27</v>
      </c>
      <c r="D23">
        <v>1993</v>
      </c>
      <c r="E23" t="s">
        <v>59</v>
      </c>
      <c r="F23">
        <v>1</v>
      </c>
      <c r="G23">
        <v>1</v>
      </c>
      <c r="H23">
        <f t="shared" si="0"/>
        <v>0</v>
      </c>
      <c r="I23">
        <f t="shared" si="1"/>
        <v>0</v>
      </c>
      <c r="J23">
        <f t="shared" si="2"/>
        <v>1</v>
      </c>
    </row>
    <row r="24" spans="1:10">
      <c r="A24">
        <v>29</v>
      </c>
      <c r="B24" t="s">
        <v>28</v>
      </c>
      <c r="C24" t="s">
        <v>29</v>
      </c>
      <c r="D24">
        <v>1993</v>
      </c>
      <c r="E24" t="s">
        <v>59</v>
      </c>
      <c r="F24">
        <v>1</v>
      </c>
      <c r="G24">
        <v>1</v>
      </c>
      <c r="H24">
        <f t="shared" si="0"/>
        <v>0</v>
      </c>
      <c r="I24">
        <f t="shared" si="1"/>
        <v>0</v>
      </c>
      <c r="J24">
        <f t="shared" si="2"/>
        <v>1</v>
      </c>
    </row>
    <row r="25" spans="1:10">
      <c r="A25">
        <v>29</v>
      </c>
      <c r="B25" t="s">
        <v>28</v>
      </c>
      <c r="C25" t="s">
        <v>29</v>
      </c>
      <c r="D25">
        <v>2005</v>
      </c>
      <c r="E25" t="s">
        <v>9</v>
      </c>
      <c r="F25">
        <f t="shared" si="3"/>
        <v>2</v>
      </c>
      <c r="H25">
        <f t="shared" si="0"/>
        <v>0</v>
      </c>
      <c r="I25">
        <f t="shared" si="1"/>
        <v>1</v>
      </c>
      <c r="J25">
        <f t="shared" si="2"/>
        <v>0</v>
      </c>
    </row>
    <row r="26" spans="1:10">
      <c r="A26">
        <v>30</v>
      </c>
      <c r="B26" t="s">
        <v>30</v>
      </c>
      <c r="C26" t="s">
        <v>31</v>
      </c>
      <c r="D26">
        <v>1993</v>
      </c>
      <c r="E26" t="s">
        <v>9</v>
      </c>
      <c r="F26">
        <v>1</v>
      </c>
      <c r="G26">
        <v>1</v>
      </c>
      <c r="H26">
        <f t="shared" si="0"/>
        <v>0</v>
      </c>
      <c r="I26">
        <f t="shared" si="1"/>
        <v>1</v>
      </c>
      <c r="J26">
        <f t="shared" si="2"/>
        <v>0</v>
      </c>
    </row>
    <row r="27" spans="1:10">
      <c r="A27">
        <v>30</v>
      </c>
      <c r="B27" t="s">
        <v>30</v>
      </c>
      <c r="C27" t="s">
        <v>31</v>
      </c>
      <c r="D27">
        <v>2005</v>
      </c>
      <c r="E27" t="s">
        <v>6</v>
      </c>
      <c r="F27">
        <f t="shared" si="3"/>
        <v>2</v>
      </c>
      <c r="H27">
        <f t="shared" si="0"/>
        <v>1</v>
      </c>
      <c r="I27">
        <f t="shared" si="1"/>
        <v>0</v>
      </c>
      <c r="J27">
        <f t="shared" si="2"/>
        <v>0</v>
      </c>
    </row>
    <row r="28" spans="1:10">
      <c r="A28">
        <v>30</v>
      </c>
      <c r="B28" t="s">
        <v>30</v>
      </c>
      <c r="C28" t="s">
        <v>31</v>
      </c>
      <c r="D28">
        <v>2007</v>
      </c>
      <c r="E28" t="s">
        <v>9</v>
      </c>
      <c r="F28">
        <f t="shared" si="3"/>
        <v>3</v>
      </c>
      <c r="H28">
        <f t="shared" si="0"/>
        <v>0</v>
      </c>
      <c r="I28">
        <f t="shared" si="1"/>
        <v>1</v>
      </c>
      <c r="J28">
        <f t="shared" si="2"/>
        <v>0</v>
      </c>
    </row>
    <row r="29" spans="1:10">
      <c r="A29">
        <v>33</v>
      </c>
      <c r="B29" t="s">
        <v>32</v>
      </c>
      <c r="C29" t="s">
        <v>33</v>
      </c>
      <c r="D29">
        <v>1993</v>
      </c>
      <c r="E29" t="s">
        <v>6</v>
      </c>
      <c r="F29">
        <v>1</v>
      </c>
      <c r="G29">
        <v>1</v>
      </c>
      <c r="H29">
        <f t="shared" si="0"/>
        <v>1</v>
      </c>
      <c r="I29">
        <f t="shared" si="1"/>
        <v>0</v>
      </c>
      <c r="J29">
        <f t="shared" si="2"/>
        <v>0</v>
      </c>
    </row>
    <row r="30" spans="1:10">
      <c r="A30">
        <v>33</v>
      </c>
      <c r="B30" t="s">
        <v>32</v>
      </c>
      <c r="C30" t="s">
        <v>33</v>
      </c>
      <c r="D30">
        <v>1997</v>
      </c>
      <c r="E30" t="s">
        <v>6</v>
      </c>
      <c r="F30">
        <f t="shared" si="3"/>
        <v>2</v>
      </c>
      <c r="H30">
        <f t="shared" si="0"/>
        <v>1</v>
      </c>
      <c r="I30">
        <f t="shared" si="1"/>
        <v>0</v>
      </c>
      <c r="J30">
        <f t="shared" si="2"/>
        <v>0</v>
      </c>
    </row>
    <row r="31" spans="1:10">
      <c r="A31">
        <v>33</v>
      </c>
      <c r="B31" t="s">
        <v>32</v>
      </c>
      <c r="C31" t="s">
        <v>33</v>
      </c>
      <c r="D31">
        <v>1999</v>
      </c>
      <c r="E31" t="s">
        <v>59</v>
      </c>
      <c r="F31">
        <f t="shared" si="3"/>
        <v>3</v>
      </c>
      <c r="H31">
        <f t="shared" si="0"/>
        <v>0</v>
      </c>
      <c r="I31">
        <f t="shared" si="1"/>
        <v>0</v>
      </c>
      <c r="J31">
        <f t="shared" si="2"/>
        <v>1</v>
      </c>
    </row>
    <row r="32" spans="1:10">
      <c r="A32">
        <v>33</v>
      </c>
      <c r="B32" t="s">
        <v>32</v>
      </c>
      <c r="C32" t="s">
        <v>33</v>
      </c>
      <c r="D32">
        <v>2002</v>
      </c>
      <c r="E32" t="s">
        <v>6</v>
      </c>
      <c r="F32">
        <f t="shared" si="3"/>
        <v>4</v>
      </c>
      <c r="H32">
        <f t="shared" si="0"/>
        <v>1</v>
      </c>
      <c r="I32">
        <f t="shared" si="1"/>
        <v>0</v>
      </c>
      <c r="J32">
        <f t="shared" si="2"/>
        <v>0</v>
      </c>
    </row>
    <row r="33" spans="1:10">
      <c r="A33">
        <v>33</v>
      </c>
      <c r="B33" t="s">
        <v>32</v>
      </c>
      <c r="C33" t="s">
        <v>33</v>
      </c>
      <c r="D33">
        <v>2008</v>
      </c>
      <c r="E33" t="s">
        <v>9</v>
      </c>
      <c r="F33">
        <f t="shared" si="3"/>
        <v>5</v>
      </c>
      <c r="H33">
        <f t="shared" si="0"/>
        <v>0</v>
      </c>
      <c r="I33">
        <f t="shared" si="1"/>
        <v>1</v>
      </c>
      <c r="J33">
        <f t="shared" si="2"/>
        <v>0</v>
      </c>
    </row>
    <row r="34" spans="1:10">
      <c r="A34">
        <v>34</v>
      </c>
      <c r="B34" t="s">
        <v>34</v>
      </c>
      <c r="C34" t="s">
        <v>35</v>
      </c>
      <c r="D34">
        <v>1990</v>
      </c>
      <c r="E34" t="s">
        <v>59</v>
      </c>
      <c r="F34">
        <v>1</v>
      </c>
      <c r="G34">
        <v>1</v>
      </c>
      <c r="H34">
        <f t="shared" si="0"/>
        <v>0</v>
      </c>
      <c r="I34">
        <f t="shared" si="1"/>
        <v>0</v>
      </c>
      <c r="J34">
        <f t="shared" si="2"/>
        <v>1</v>
      </c>
    </row>
    <row r="35" spans="1:10">
      <c r="A35">
        <v>34</v>
      </c>
      <c r="B35" t="s">
        <v>34</v>
      </c>
      <c r="C35" t="s">
        <v>35</v>
      </c>
      <c r="D35">
        <v>1994</v>
      </c>
      <c r="E35" t="s">
        <v>6</v>
      </c>
      <c r="F35">
        <f t="shared" si="3"/>
        <v>2</v>
      </c>
      <c r="H35">
        <f t="shared" si="0"/>
        <v>1</v>
      </c>
      <c r="I35">
        <f t="shared" si="1"/>
        <v>0</v>
      </c>
      <c r="J35">
        <f t="shared" si="2"/>
        <v>0</v>
      </c>
    </row>
    <row r="36" spans="1:10">
      <c r="A36">
        <v>34</v>
      </c>
      <c r="B36" t="s">
        <v>34</v>
      </c>
      <c r="C36" t="s">
        <v>35</v>
      </c>
      <c r="D36">
        <v>1996</v>
      </c>
      <c r="E36" t="s">
        <v>9</v>
      </c>
      <c r="F36">
        <f t="shared" si="3"/>
        <v>3</v>
      </c>
      <c r="H36">
        <f t="shared" si="0"/>
        <v>0</v>
      </c>
      <c r="I36">
        <f t="shared" si="1"/>
        <v>1</v>
      </c>
      <c r="J36">
        <f t="shared" si="2"/>
        <v>0</v>
      </c>
    </row>
    <row r="37" spans="1:10">
      <c r="A37">
        <v>34</v>
      </c>
      <c r="B37" t="s">
        <v>34</v>
      </c>
      <c r="C37" t="s">
        <v>35</v>
      </c>
      <c r="D37">
        <v>1997</v>
      </c>
      <c r="E37" t="s">
        <v>9</v>
      </c>
      <c r="F37">
        <f t="shared" si="3"/>
        <v>4</v>
      </c>
      <c r="H37">
        <f t="shared" si="0"/>
        <v>0</v>
      </c>
      <c r="I37">
        <f t="shared" si="1"/>
        <v>1</v>
      </c>
      <c r="J37">
        <f t="shared" si="2"/>
        <v>0</v>
      </c>
    </row>
    <row r="38" spans="1:10">
      <c r="A38">
        <v>34</v>
      </c>
      <c r="B38" t="s">
        <v>34</v>
      </c>
      <c r="C38" t="s">
        <v>35</v>
      </c>
      <c r="D38">
        <v>1998</v>
      </c>
      <c r="E38" t="s">
        <v>6</v>
      </c>
      <c r="F38">
        <f t="shared" si="3"/>
        <v>5</v>
      </c>
      <c r="H38">
        <f t="shared" si="0"/>
        <v>1</v>
      </c>
      <c r="I38">
        <f t="shared" si="1"/>
        <v>0</v>
      </c>
      <c r="J38">
        <f t="shared" si="2"/>
        <v>0</v>
      </c>
    </row>
    <row r="39" spans="1:10">
      <c r="A39">
        <v>34</v>
      </c>
      <c r="B39" t="s">
        <v>34</v>
      </c>
      <c r="C39" t="s">
        <v>35</v>
      </c>
      <c r="D39">
        <v>2000</v>
      </c>
      <c r="E39" t="s">
        <v>6</v>
      </c>
      <c r="F39">
        <f t="shared" si="3"/>
        <v>6</v>
      </c>
      <c r="H39">
        <f t="shared" si="0"/>
        <v>1</v>
      </c>
      <c r="I39">
        <f t="shared" si="1"/>
        <v>0</v>
      </c>
      <c r="J39">
        <f t="shared" si="2"/>
        <v>0</v>
      </c>
    </row>
    <row r="40" spans="1:10">
      <c r="A40">
        <v>34</v>
      </c>
      <c r="B40" t="s">
        <v>34</v>
      </c>
      <c r="C40" t="s">
        <v>35</v>
      </c>
      <c r="D40">
        <v>2008</v>
      </c>
      <c r="E40" t="s">
        <v>9</v>
      </c>
      <c r="F40">
        <f t="shared" si="3"/>
        <v>7</v>
      </c>
      <c r="H40">
        <f t="shared" si="0"/>
        <v>0</v>
      </c>
      <c r="I40">
        <f t="shared" si="1"/>
        <v>1</v>
      </c>
      <c r="J40">
        <f t="shared" si="2"/>
        <v>0</v>
      </c>
    </row>
    <row r="41" spans="1:10">
      <c r="A41">
        <v>35</v>
      </c>
      <c r="B41" t="s">
        <v>36</v>
      </c>
      <c r="C41" t="s">
        <v>37</v>
      </c>
      <c r="D41">
        <v>1999</v>
      </c>
      <c r="E41" t="s">
        <v>6</v>
      </c>
      <c r="F41">
        <v>1</v>
      </c>
      <c r="G41">
        <v>1</v>
      </c>
      <c r="H41">
        <f t="shared" si="0"/>
        <v>1</v>
      </c>
      <c r="I41">
        <f t="shared" si="1"/>
        <v>0</v>
      </c>
      <c r="J41">
        <f t="shared" si="2"/>
        <v>0</v>
      </c>
    </row>
    <row r="42" spans="1:10">
      <c r="A42">
        <v>35</v>
      </c>
      <c r="B42" t="s">
        <v>36</v>
      </c>
      <c r="C42" t="s">
        <v>37</v>
      </c>
      <c r="D42">
        <v>2001</v>
      </c>
      <c r="E42" t="s">
        <v>9</v>
      </c>
      <c r="F42">
        <f t="shared" si="3"/>
        <v>2</v>
      </c>
      <c r="H42">
        <f t="shared" si="0"/>
        <v>0</v>
      </c>
      <c r="I42">
        <f t="shared" si="1"/>
        <v>1</v>
      </c>
      <c r="J42">
        <f t="shared" si="2"/>
        <v>0</v>
      </c>
    </row>
    <row r="43" spans="1:10">
      <c r="A43">
        <v>36</v>
      </c>
      <c r="B43" t="s">
        <v>38</v>
      </c>
      <c r="C43" t="s">
        <v>39</v>
      </c>
      <c r="D43">
        <v>2003</v>
      </c>
      <c r="E43" t="s">
        <v>6</v>
      </c>
      <c r="F43">
        <v>1</v>
      </c>
      <c r="G43">
        <v>1</v>
      </c>
      <c r="H43">
        <f t="shared" si="0"/>
        <v>1</v>
      </c>
      <c r="I43">
        <f t="shared" si="1"/>
        <v>0</v>
      </c>
      <c r="J43">
        <f t="shared" si="2"/>
        <v>0</v>
      </c>
    </row>
    <row r="44" spans="1:10">
      <c r="A44">
        <v>36</v>
      </c>
      <c r="B44" t="s">
        <v>38</v>
      </c>
      <c r="C44" t="s">
        <v>39</v>
      </c>
      <c r="D44">
        <v>2006</v>
      </c>
      <c r="E44" t="s">
        <v>6</v>
      </c>
      <c r="F44">
        <f t="shared" si="3"/>
        <v>2</v>
      </c>
      <c r="H44">
        <f t="shared" si="0"/>
        <v>1</v>
      </c>
      <c r="I44">
        <f t="shared" si="1"/>
        <v>0</v>
      </c>
      <c r="J44">
        <f t="shared" si="2"/>
        <v>0</v>
      </c>
    </row>
    <row r="45" spans="1:10">
      <c r="A45">
        <v>36</v>
      </c>
      <c r="B45" t="s">
        <v>38</v>
      </c>
      <c r="C45" t="s">
        <v>39</v>
      </c>
      <c r="D45">
        <v>2007</v>
      </c>
      <c r="E45" t="s">
        <v>9</v>
      </c>
      <c r="F45">
        <f t="shared" si="3"/>
        <v>3</v>
      </c>
      <c r="H45">
        <f t="shared" si="0"/>
        <v>0</v>
      </c>
      <c r="I45">
        <f t="shared" si="1"/>
        <v>1</v>
      </c>
      <c r="J45">
        <f t="shared" si="2"/>
        <v>0</v>
      </c>
    </row>
    <row r="46" spans="1:10">
      <c r="A46">
        <v>37</v>
      </c>
      <c r="B46" t="s">
        <v>40</v>
      </c>
      <c r="C46" t="s">
        <v>41</v>
      </c>
      <c r="D46">
        <v>1997</v>
      </c>
      <c r="E46" t="s">
        <v>6</v>
      </c>
      <c r="F46">
        <v>1</v>
      </c>
      <c r="G46">
        <v>1</v>
      </c>
      <c r="H46">
        <f t="shared" si="0"/>
        <v>1</v>
      </c>
      <c r="I46">
        <f t="shared" si="1"/>
        <v>0</v>
      </c>
      <c r="J46">
        <f t="shared" si="2"/>
        <v>0</v>
      </c>
    </row>
    <row r="47" spans="1:10">
      <c r="A47">
        <v>37</v>
      </c>
      <c r="B47" t="s">
        <v>40</v>
      </c>
      <c r="C47" t="s">
        <v>41</v>
      </c>
      <c r="D47">
        <v>2004</v>
      </c>
      <c r="E47" t="s">
        <v>6</v>
      </c>
      <c r="F47">
        <f t="shared" si="3"/>
        <v>2</v>
      </c>
      <c r="H47">
        <f t="shared" si="0"/>
        <v>1</v>
      </c>
      <c r="I47">
        <f t="shared" si="1"/>
        <v>0</v>
      </c>
      <c r="J47">
        <f t="shared" si="2"/>
        <v>0</v>
      </c>
    </row>
    <row r="48" spans="1:10">
      <c r="A48">
        <v>38</v>
      </c>
      <c r="B48" t="s">
        <v>42</v>
      </c>
      <c r="C48" t="s">
        <v>43</v>
      </c>
      <c r="D48">
        <v>2007</v>
      </c>
      <c r="E48" t="s">
        <v>9</v>
      </c>
      <c r="F48">
        <v>1</v>
      </c>
      <c r="G48">
        <v>1</v>
      </c>
      <c r="H48">
        <f t="shared" si="0"/>
        <v>0</v>
      </c>
      <c r="I48">
        <f t="shared" si="1"/>
        <v>1</v>
      </c>
      <c r="J48">
        <f t="shared" si="2"/>
        <v>0</v>
      </c>
    </row>
    <row r="49" spans="1:10">
      <c r="A49">
        <v>39</v>
      </c>
      <c r="B49" t="s">
        <v>44</v>
      </c>
      <c r="C49" t="s">
        <v>45</v>
      </c>
      <c r="D49">
        <v>1997</v>
      </c>
      <c r="E49" t="s">
        <v>6</v>
      </c>
      <c r="F49">
        <v>1</v>
      </c>
      <c r="G49">
        <v>1</v>
      </c>
      <c r="H49">
        <f t="shared" si="0"/>
        <v>1</v>
      </c>
      <c r="I49">
        <f t="shared" si="1"/>
        <v>0</v>
      </c>
      <c r="J49">
        <f t="shared" si="2"/>
        <v>0</v>
      </c>
    </row>
    <row r="50" spans="1:10">
      <c r="A50">
        <v>39</v>
      </c>
      <c r="B50" t="s">
        <v>44</v>
      </c>
      <c r="C50" t="s">
        <v>45</v>
      </c>
      <c r="D50">
        <v>2000</v>
      </c>
      <c r="E50" t="s">
        <v>59</v>
      </c>
      <c r="F50">
        <f t="shared" si="3"/>
        <v>2</v>
      </c>
      <c r="H50">
        <f t="shared" si="0"/>
        <v>0</v>
      </c>
      <c r="I50">
        <f t="shared" si="1"/>
        <v>0</v>
      </c>
      <c r="J50">
        <f t="shared" si="2"/>
        <v>1</v>
      </c>
    </row>
    <row r="51" spans="1:10">
      <c r="A51">
        <v>39</v>
      </c>
      <c r="B51" t="s">
        <v>44</v>
      </c>
      <c r="C51" t="s">
        <v>45</v>
      </c>
      <c r="D51">
        <v>2002</v>
      </c>
      <c r="E51" t="s">
        <v>6</v>
      </c>
      <c r="F51">
        <f t="shared" si="3"/>
        <v>3</v>
      </c>
      <c r="H51">
        <f t="shared" si="0"/>
        <v>1</v>
      </c>
      <c r="I51">
        <f t="shared" si="1"/>
        <v>0</v>
      </c>
      <c r="J51">
        <f t="shared" si="2"/>
        <v>0</v>
      </c>
    </row>
    <row r="52" spans="1:10">
      <c r="A52">
        <v>47</v>
      </c>
      <c r="B52" t="s">
        <v>46</v>
      </c>
      <c r="C52" t="s">
        <v>47</v>
      </c>
      <c r="D52">
        <v>1992</v>
      </c>
      <c r="E52" t="s">
        <v>9</v>
      </c>
      <c r="F52">
        <v>1</v>
      </c>
      <c r="G52">
        <v>1</v>
      </c>
      <c r="H52">
        <f t="shared" si="0"/>
        <v>0</v>
      </c>
      <c r="I52">
        <f t="shared" si="1"/>
        <v>1</v>
      </c>
      <c r="J52">
        <f t="shared" si="2"/>
        <v>0</v>
      </c>
    </row>
    <row r="53" spans="1:10">
      <c r="A53">
        <v>47</v>
      </c>
      <c r="B53" t="s">
        <v>46</v>
      </c>
      <c r="C53" t="s">
        <v>47</v>
      </c>
      <c r="D53">
        <v>1993</v>
      </c>
      <c r="E53" t="s">
        <v>6</v>
      </c>
      <c r="F53">
        <f t="shared" si="3"/>
        <v>2</v>
      </c>
      <c r="H53">
        <f t="shared" si="0"/>
        <v>1</v>
      </c>
      <c r="I53">
        <f t="shared" si="1"/>
        <v>0</v>
      </c>
      <c r="J53">
        <f t="shared" si="2"/>
        <v>0</v>
      </c>
    </row>
    <row r="54" spans="1:10">
      <c r="A54">
        <v>47</v>
      </c>
      <c r="B54" t="s">
        <v>46</v>
      </c>
      <c r="C54" t="s">
        <v>47</v>
      </c>
      <c r="D54">
        <v>1995</v>
      </c>
      <c r="E54" t="s">
        <v>6</v>
      </c>
      <c r="F54">
        <f t="shared" si="3"/>
        <v>3</v>
      </c>
      <c r="H54">
        <f t="shared" si="0"/>
        <v>1</v>
      </c>
      <c r="I54">
        <f t="shared" si="1"/>
        <v>0</v>
      </c>
      <c r="J54">
        <f t="shared" si="2"/>
        <v>0</v>
      </c>
    </row>
    <row r="55" spans="1:10">
      <c r="A55">
        <v>47</v>
      </c>
      <c r="B55" t="s">
        <v>46</v>
      </c>
      <c r="C55" t="s">
        <v>47</v>
      </c>
      <c r="D55">
        <v>2002</v>
      </c>
      <c r="E55" t="s">
        <v>6</v>
      </c>
      <c r="F55">
        <f t="shared" si="3"/>
        <v>4</v>
      </c>
      <c r="H55">
        <f t="shared" si="0"/>
        <v>1</v>
      </c>
      <c r="I55">
        <f t="shared" si="1"/>
        <v>0</v>
      </c>
      <c r="J55">
        <f t="shared" si="2"/>
        <v>0</v>
      </c>
    </row>
    <row r="56" spans="1:10">
      <c r="A56">
        <v>48</v>
      </c>
      <c r="B56" t="s">
        <v>48</v>
      </c>
      <c r="C56" t="s">
        <v>49</v>
      </c>
      <c r="D56">
        <v>1991</v>
      </c>
      <c r="E56" t="s">
        <v>6</v>
      </c>
      <c r="F56">
        <v>1</v>
      </c>
      <c r="G56">
        <v>1</v>
      </c>
      <c r="H56">
        <f t="shared" si="0"/>
        <v>1</v>
      </c>
      <c r="I56">
        <f t="shared" si="1"/>
        <v>0</v>
      </c>
      <c r="J56">
        <f t="shared" si="2"/>
        <v>0</v>
      </c>
    </row>
    <row r="57" spans="1:10">
      <c r="A57">
        <v>48</v>
      </c>
      <c r="B57" t="s">
        <v>48</v>
      </c>
      <c r="C57" t="s">
        <v>49</v>
      </c>
      <c r="D57">
        <v>1992</v>
      </c>
      <c r="E57" t="s">
        <v>6</v>
      </c>
      <c r="F57">
        <f t="shared" si="3"/>
        <v>2</v>
      </c>
      <c r="H57">
        <f t="shared" si="0"/>
        <v>1</v>
      </c>
      <c r="I57">
        <f t="shared" si="1"/>
        <v>0</v>
      </c>
      <c r="J57">
        <f t="shared" si="2"/>
        <v>0</v>
      </c>
    </row>
    <row r="58" spans="1:10">
      <c r="A58">
        <v>48</v>
      </c>
      <c r="B58" t="s">
        <v>48</v>
      </c>
      <c r="C58" t="s">
        <v>49</v>
      </c>
      <c r="D58">
        <v>1993</v>
      </c>
      <c r="E58" t="s">
        <v>9</v>
      </c>
      <c r="F58">
        <f t="shared" si="3"/>
        <v>3</v>
      </c>
      <c r="H58">
        <f t="shared" si="0"/>
        <v>0</v>
      </c>
      <c r="I58">
        <f t="shared" si="1"/>
        <v>1</v>
      </c>
      <c r="J58">
        <f t="shared" si="2"/>
        <v>0</v>
      </c>
    </row>
    <row r="59" spans="1:10">
      <c r="A59">
        <v>50</v>
      </c>
      <c r="B59" t="s">
        <v>50</v>
      </c>
      <c r="C59" t="s">
        <v>51</v>
      </c>
      <c r="D59">
        <v>1997</v>
      </c>
      <c r="E59" t="s">
        <v>6</v>
      </c>
      <c r="F59">
        <v>1</v>
      </c>
      <c r="G59">
        <v>1</v>
      </c>
      <c r="H59">
        <f t="shared" si="0"/>
        <v>1</v>
      </c>
      <c r="I59">
        <f t="shared" si="1"/>
        <v>0</v>
      </c>
      <c r="J59">
        <f t="shared" si="2"/>
        <v>0</v>
      </c>
    </row>
    <row r="60" spans="1:10">
      <c r="A60">
        <v>50</v>
      </c>
      <c r="B60" t="s">
        <v>50</v>
      </c>
      <c r="C60" t="s">
        <v>51</v>
      </c>
      <c r="D60">
        <v>2003</v>
      </c>
      <c r="E60" t="s">
        <v>9</v>
      </c>
      <c r="F60">
        <f t="shared" si="3"/>
        <v>2</v>
      </c>
      <c r="H60">
        <f t="shared" si="0"/>
        <v>0</v>
      </c>
      <c r="I60">
        <f t="shared" si="1"/>
        <v>1</v>
      </c>
      <c r="J60">
        <f t="shared" si="2"/>
        <v>0</v>
      </c>
    </row>
    <row r="61" spans="1:10">
      <c r="A61">
        <v>53</v>
      </c>
      <c r="B61" t="s">
        <v>52</v>
      </c>
      <c r="C61" t="s">
        <v>53</v>
      </c>
      <c r="D61">
        <v>2010</v>
      </c>
      <c r="E61" t="s">
        <v>6</v>
      </c>
      <c r="F61">
        <v>1</v>
      </c>
      <c r="G61">
        <v>1</v>
      </c>
      <c r="H61">
        <f t="shared" si="0"/>
        <v>1</v>
      </c>
      <c r="I61">
        <f t="shared" si="1"/>
        <v>0</v>
      </c>
      <c r="J61">
        <f t="shared" si="2"/>
        <v>0</v>
      </c>
    </row>
    <row r="62" spans="1:10">
      <c r="A62">
        <v>54</v>
      </c>
      <c r="B62" t="s">
        <v>54</v>
      </c>
      <c r="C62" t="s">
        <v>55</v>
      </c>
      <c r="D62">
        <v>1995</v>
      </c>
      <c r="E62" t="s">
        <v>6</v>
      </c>
      <c r="F62">
        <v>1</v>
      </c>
      <c r="G62">
        <v>1</v>
      </c>
      <c r="H62">
        <f t="shared" si="0"/>
        <v>1</v>
      </c>
      <c r="I62">
        <f t="shared" si="1"/>
        <v>0</v>
      </c>
      <c r="J62">
        <f t="shared" si="2"/>
        <v>0</v>
      </c>
    </row>
    <row r="63" spans="1:10">
      <c r="A63">
        <v>56</v>
      </c>
      <c r="B63" t="s">
        <v>56</v>
      </c>
      <c r="C63" t="s">
        <v>57</v>
      </c>
      <c r="D63">
        <v>1995</v>
      </c>
      <c r="E63" t="s">
        <v>6</v>
      </c>
      <c r="F63">
        <v>1</v>
      </c>
      <c r="G63">
        <v>1</v>
      </c>
      <c r="H63">
        <f t="shared" ref="H63:H65" si="4">+IF(E63="Court",1,0)</f>
        <v>1</v>
      </c>
      <c r="I63">
        <f t="shared" ref="I63:I65" si="5">+IF(E63="Statute",1,0)</f>
        <v>0</v>
      </c>
      <c r="J63">
        <f t="shared" ref="J63:J65" si="6">+IF(E63="Both",1,0)</f>
        <v>0</v>
      </c>
    </row>
    <row r="64" spans="1:10">
      <c r="A64">
        <v>56</v>
      </c>
      <c r="B64" t="s">
        <v>56</v>
      </c>
      <c r="C64" t="s">
        <v>57</v>
      </c>
      <c r="D64">
        <v>1997</v>
      </c>
      <c r="E64" t="s">
        <v>9</v>
      </c>
      <c r="F64">
        <f t="shared" ref="F64:F65" si="7">+F63+1</f>
        <v>2</v>
      </c>
      <c r="H64">
        <f t="shared" si="4"/>
        <v>0</v>
      </c>
      <c r="I64">
        <f t="shared" si="5"/>
        <v>1</v>
      </c>
      <c r="J64">
        <f t="shared" si="6"/>
        <v>0</v>
      </c>
    </row>
    <row r="65" spans="1:11">
      <c r="A65">
        <v>56</v>
      </c>
      <c r="B65" t="s">
        <v>56</v>
      </c>
      <c r="C65" t="s">
        <v>57</v>
      </c>
      <c r="D65">
        <v>2001</v>
      </c>
      <c r="E65" t="s">
        <v>9</v>
      </c>
      <c r="F65">
        <f t="shared" si="7"/>
        <v>3</v>
      </c>
      <c r="H65">
        <f t="shared" si="4"/>
        <v>0</v>
      </c>
      <c r="I65">
        <f t="shared" si="5"/>
        <v>1</v>
      </c>
      <c r="J65">
        <f t="shared" si="6"/>
        <v>0</v>
      </c>
      <c r="K65">
        <f>SUM(H66:J66)</f>
        <v>64</v>
      </c>
    </row>
    <row r="66" spans="1:11">
      <c r="F66">
        <f>COUNT(F2:F65)</f>
        <v>64</v>
      </c>
      <c r="G66">
        <f>SUM(G2:G65)</f>
        <v>26</v>
      </c>
      <c r="H66">
        <f>SUM(H2:H65)</f>
        <v>33</v>
      </c>
      <c r="I66">
        <f>SUM(I2:I65)</f>
        <v>25</v>
      </c>
      <c r="J66">
        <f>SUM(J2:J65)</f>
        <v>6</v>
      </c>
    </row>
    <row r="67" spans="1:11">
      <c r="G67" t="s">
        <v>61</v>
      </c>
      <c r="H67" t="s">
        <v>60</v>
      </c>
      <c r="I67" t="s">
        <v>62</v>
      </c>
      <c r="J67" t="s">
        <v>63</v>
      </c>
    </row>
    <row r="68" spans="1:11">
      <c r="H68" s="1">
        <f>+H66/$F66</f>
        <v>0.515625</v>
      </c>
      <c r="I68" s="1">
        <f>+I66/$F66</f>
        <v>0.390625</v>
      </c>
      <c r="J68" s="1">
        <f>+J66/$F66</f>
        <v>9.375E-2</v>
      </c>
    </row>
    <row r="69" spans="1:11">
      <c r="H69" t="s">
        <v>64</v>
      </c>
      <c r="I69" t="s">
        <v>65</v>
      </c>
      <c r="J69" t="s">
        <v>66</v>
      </c>
    </row>
  </sheetData>
  <sortState ref="A2:G76">
    <sortCondition ref="B2:B76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Northwestern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Elora Hand Ditton</dc:creator>
  <cp:lastModifiedBy>Julien Lafortune</cp:lastModifiedBy>
  <dcterms:created xsi:type="dcterms:W3CDTF">2015-08-19T18:47:35Z</dcterms:created>
  <dcterms:modified xsi:type="dcterms:W3CDTF">2016-07-14T22:57:33Z</dcterms:modified>
</cp:coreProperties>
</file>